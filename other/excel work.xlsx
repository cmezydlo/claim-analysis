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mfr\Documents\portfolio projects\claim analysis\other\"/>
    </mc:Choice>
  </mc:AlternateContent>
  <xr:revisionPtr revIDLastSave="0" documentId="13_ncr:1_{87643729-2BEC-42E0-B9C6-51CD4CEE6A6D}" xr6:coauthVersionLast="47" xr6:coauthVersionMax="47" xr10:uidLastSave="{00000000-0000-0000-0000-000000000000}"/>
  <bookViews>
    <workbookView xWindow="18070" yWindow="4370" windowWidth="20420" windowHeight="15970" xr2:uid="{71C846A3-33A5-4584-83EE-FBFF49373E2E}"/>
  </bookViews>
  <sheets>
    <sheet name="ERD" sheetId="1" r:id="rId1"/>
    <sheet name="Sheet1" sheetId="2" r:id="rId2"/>
    <sheet name="member ch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3" l="1"/>
  <c r="F15" i="2"/>
  <c r="F14" i="2"/>
  <c r="D29" i="2"/>
  <c r="F25" i="2" s="1"/>
  <c r="C29" i="2"/>
  <c r="F26" i="2" s="1"/>
  <c r="C18" i="2"/>
  <c r="D18" i="2"/>
  <c r="I10" i="3"/>
  <c r="J10" i="3"/>
  <c r="D13" i="3"/>
  <c r="E13" i="3"/>
  <c r="C13" i="3" s="1"/>
  <c r="D14" i="3"/>
  <c r="E14" i="3"/>
  <c r="C27" i="3"/>
  <c r="D27" i="3"/>
  <c r="E27" i="3"/>
  <c r="D28" i="3"/>
  <c r="E28" i="3"/>
  <c r="F3" i="2"/>
  <c r="G3" i="2"/>
  <c r="H3" i="2"/>
  <c r="G4" i="2"/>
  <c r="F5" i="2"/>
  <c r="G5" i="2"/>
  <c r="H5" i="2"/>
  <c r="F6" i="2"/>
  <c r="G6" i="2"/>
  <c r="H6" i="2"/>
  <c r="F7" i="2"/>
  <c r="G7" i="2"/>
  <c r="H7" i="2"/>
  <c r="B8" i="2"/>
  <c r="F4" i="2" s="1"/>
  <c r="C8" i="2"/>
  <c r="D8" i="2"/>
  <c r="H4" i="2" s="1"/>
</calcChain>
</file>

<file path=xl/sharedStrings.xml><?xml version="1.0" encoding="utf-8"?>
<sst xmlns="http://schemas.openxmlformats.org/spreadsheetml/2006/main" count="85" uniqueCount="52">
  <si>
    <t>claim</t>
  </si>
  <si>
    <t>claim_id</t>
  </si>
  <si>
    <t>member_id</t>
  </si>
  <si>
    <t>provider_id</t>
  </si>
  <si>
    <t>claim_date</t>
  </si>
  <si>
    <t>claim_type</t>
  </si>
  <si>
    <t>cpt_code</t>
  </si>
  <si>
    <t>icd_code</t>
  </si>
  <si>
    <t>billed_amount</t>
  </si>
  <si>
    <t>paid_amount</t>
  </si>
  <si>
    <t>String</t>
  </si>
  <si>
    <t>Int</t>
  </si>
  <si>
    <t>Date</t>
  </si>
  <si>
    <t>PK</t>
  </si>
  <si>
    <t>FK</t>
  </si>
  <si>
    <t>members</t>
  </si>
  <si>
    <t>member_age</t>
  </si>
  <si>
    <t>member_gender</t>
  </si>
  <si>
    <t>plan_type</t>
  </si>
  <si>
    <t>enrollment_start_date</t>
  </si>
  <si>
    <t>enrollment_end_date</t>
  </si>
  <si>
    <t>total</t>
  </si>
  <si>
    <t>count</t>
  </si>
  <si>
    <t>code</t>
  </si>
  <si>
    <t>Procedures</t>
  </si>
  <si>
    <t>pharmacy</t>
  </si>
  <si>
    <t>lab</t>
  </si>
  <si>
    <t>outpatient</t>
  </si>
  <si>
    <t>emergency</t>
  </si>
  <si>
    <t>inpatient</t>
  </si>
  <si>
    <t>billed</t>
  </si>
  <si>
    <t>paid</t>
  </si>
  <si>
    <t>SUMMARY</t>
  </si>
  <si>
    <t>Paid Amount</t>
  </si>
  <si>
    <t>Count of ClaimsData</t>
  </si>
  <si>
    <t>Avg Paid per Claim</t>
  </si>
  <si>
    <t>Member Id</t>
  </si>
  <si>
    <t>Inpatient ONLY</t>
  </si>
  <si>
    <t>subtotal</t>
  </si>
  <si>
    <t>pharma</t>
  </si>
  <si>
    <t>claims</t>
  </si>
  <si>
    <t>total paid</t>
  </si>
  <si>
    <t>All Claim Types</t>
  </si>
  <si>
    <t>of total claims</t>
  </si>
  <si>
    <t>Takeaways</t>
  </si>
  <si>
    <t>of total paid</t>
  </si>
  <si>
    <t>Diagnosis</t>
  </si>
  <si>
    <t>A12.3</t>
  </si>
  <si>
    <t>B20</t>
  </si>
  <si>
    <t>B20.1</t>
  </si>
  <si>
    <t>C34.91</t>
  </si>
  <si>
    <t>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</si>
</sst>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3" borderId="5" xfId="0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9" fontId="0" fillId="0" borderId="0" xfId="2" applyFont="1"/>
    <xf numFmtId="0" fontId="0" fillId="0" borderId="7" xfId="0" applyBorder="1"/>
    <xf numFmtId="164" fontId="0" fillId="0" borderId="7" xfId="1" applyNumberFormat="1" applyFont="1" applyBorder="1"/>
    <xf numFmtId="164" fontId="0" fillId="0" borderId="0" xfId="1" applyNumberFormat="1" applyFont="1"/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5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4</xdr:row>
      <xdr:rowOff>69273</xdr:rowOff>
    </xdr:from>
    <xdr:to>
      <xdr:col>5</xdr:col>
      <xdr:colOff>603250</xdr:colOff>
      <xdr:row>5</xdr:row>
      <xdr:rowOff>146628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2E15A38-CD03-5E0E-1603-410536AF29A4}"/>
            </a:ext>
          </a:extLst>
        </xdr:cNvPr>
        <xdr:cNvGrpSpPr/>
      </xdr:nvGrpSpPr>
      <xdr:grpSpPr>
        <a:xfrm>
          <a:off x="2908300" y="805873"/>
          <a:ext cx="1206500" cy="261505"/>
          <a:chOff x="2907145" y="808182"/>
          <a:chExt cx="1205923" cy="262082"/>
        </a:xfrm>
      </xdr:grpSpPr>
      <xdr:cxnSp macro="">
        <xdr:nvCxnSpPr>
          <xdr:cNvPr id="3" name="Connector: Elbow 2">
            <a:extLst>
              <a:ext uri="{FF2B5EF4-FFF2-40B4-BE49-F238E27FC236}">
                <a16:creationId xmlns:a16="http://schemas.microsoft.com/office/drawing/2014/main" id="{48C71BA3-D050-133D-9252-675D6CF8712A}"/>
              </a:ext>
            </a:extLst>
          </xdr:cNvPr>
          <xdr:cNvCxnSpPr/>
        </xdr:nvCxnSpPr>
        <xdr:spPr>
          <a:xfrm rot="10800000" flipV="1">
            <a:off x="2907145" y="865909"/>
            <a:ext cx="1205923" cy="140277"/>
          </a:xfrm>
          <a:prstGeom prst="bentConnector3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DCBE9B81-6956-3D9F-EE5B-1DB496F87AB9}"/>
              </a:ext>
            </a:extLst>
          </xdr:cNvPr>
          <xdr:cNvCxnSpPr/>
        </xdr:nvCxnSpPr>
        <xdr:spPr>
          <a:xfrm flipV="1">
            <a:off x="2919268" y="1000414"/>
            <a:ext cx="76200" cy="69850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84F03434-AA02-4795-A666-2EECD9339183}"/>
              </a:ext>
            </a:extLst>
          </xdr:cNvPr>
          <xdr:cNvCxnSpPr/>
        </xdr:nvCxnSpPr>
        <xdr:spPr>
          <a:xfrm>
            <a:off x="2909455" y="946151"/>
            <a:ext cx="89477" cy="55418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1F489FAA-0DE5-3B03-4EF2-66A6CE5809EB}"/>
              </a:ext>
            </a:extLst>
          </xdr:cNvPr>
          <xdr:cNvCxnSpPr/>
        </xdr:nvCxnSpPr>
        <xdr:spPr>
          <a:xfrm>
            <a:off x="4055341" y="808182"/>
            <a:ext cx="2886" cy="10679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2887</xdr:colOff>
      <xdr:row>14</xdr:row>
      <xdr:rowOff>2885</xdr:rowOff>
    </xdr:from>
    <xdr:to>
      <xdr:col>10</xdr:col>
      <xdr:colOff>578</xdr:colOff>
      <xdr:row>24</xdr:row>
      <xdr:rowOff>9235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EC1ED4E6-535E-69FD-4268-DA8B6A081B22}"/>
            </a:ext>
          </a:extLst>
        </xdr:cNvPr>
        <xdr:cNvGrpSpPr/>
      </xdr:nvGrpSpPr>
      <xdr:grpSpPr>
        <a:xfrm>
          <a:off x="1222087" y="2580985"/>
          <a:ext cx="6042891" cy="1847850"/>
          <a:chOff x="1220932" y="2589067"/>
          <a:chExt cx="6038851" cy="1853623"/>
        </a:xfrm>
      </xdr:grpSpPr>
      <mc:AlternateContent xmlns:mc="http://schemas.openxmlformats.org/markup-compatibility/2006" xmlns:a14="http://schemas.microsoft.com/office/drawing/2010/main">
        <mc:Choice Requires="a14">
          <xdr:pic>
            <xdr:nvPicPr>
              <xdr:cNvPr id="14" name="Picture 13">
                <a:extLst>
                  <a:ext uri="{FF2B5EF4-FFF2-40B4-BE49-F238E27FC236}">
                    <a16:creationId xmlns:a16="http://schemas.microsoft.com/office/drawing/2014/main" id="{39AF21CD-1E97-6506-F31B-518367522ACF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B$4:$D$13" spid="_x0000_s1049"/>
                  </a:ext>
                </a:extLst>
              </xdr:cNvPicPr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 bwMode="auto">
              <a:xfrm>
                <a:off x="1220932" y="2589067"/>
                <a:ext cx="2296968" cy="1853623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pic>
            <xdr:nvPicPr>
              <xdr:cNvPr id="15" name="Picture 14">
                <a:extLst>
                  <a:ext uri="{FF2B5EF4-FFF2-40B4-BE49-F238E27FC236}">
                    <a16:creationId xmlns:a16="http://schemas.microsoft.com/office/drawing/2014/main" id="{4DC5FB3A-1452-F97A-1D57-3DECE7099A9A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$G$4:$I$10" spid="_x0000_s1050"/>
                  </a:ext>
                </a:extLst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 bwMode="auto">
              <a:xfrm>
                <a:off x="4722092" y="2589067"/>
                <a:ext cx="2537691" cy="1299441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F074D373-1015-4498-B00A-555463EDB1FB}"/>
              </a:ext>
            </a:extLst>
          </xdr:cNvPr>
          <xdr:cNvGrpSpPr/>
        </xdr:nvGrpSpPr>
        <xdr:grpSpPr>
          <a:xfrm>
            <a:off x="3506932" y="2831522"/>
            <a:ext cx="1205923" cy="262082"/>
            <a:chOff x="2907145" y="808182"/>
            <a:chExt cx="1205923" cy="262082"/>
          </a:xfrm>
        </xdr:grpSpPr>
        <xdr:cxnSp macro="">
          <xdr:nvCxnSpPr>
            <xdr:cNvPr id="17" name="Connector: Elbow 16">
              <a:extLst>
                <a:ext uri="{FF2B5EF4-FFF2-40B4-BE49-F238E27FC236}">
                  <a16:creationId xmlns:a16="http://schemas.microsoft.com/office/drawing/2014/main" id="{5206F02D-3E01-521C-AEBD-1289991E1E74}"/>
                </a:ext>
              </a:extLst>
            </xdr:cNvPr>
            <xdr:cNvCxnSpPr/>
          </xdr:nvCxnSpPr>
          <xdr:spPr>
            <a:xfrm rot="10800000" flipV="1">
              <a:off x="2907145" y="865909"/>
              <a:ext cx="1205923" cy="140277"/>
            </a:xfrm>
            <a:prstGeom prst="bentConnector3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17FDD66-AC83-F37A-9D5F-880BB400C075}"/>
                </a:ext>
              </a:extLst>
            </xdr:cNvPr>
            <xdr:cNvCxnSpPr/>
          </xdr:nvCxnSpPr>
          <xdr:spPr>
            <a:xfrm flipV="1">
              <a:off x="2919268" y="1000414"/>
              <a:ext cx="76200" cy="69850"/>
            </a:xfrm>
            <a:prstGeom prst="line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C25A290C-A521-DCB3-E318-4E77F3D9F057}"/>
                </a:ext>
              </a:extLst>
            </xdr:cNvPr>
            <xdr:cNvCxnSpPr/>
          </xdr:nvCxnSpPr>
          <xdr:spPr>
            <a:xfrm>
              <a:off x="2909455" y="946151"/>
              <a:ext cx="89477" cy="55418"/>
            </a:xfrm>
            <a:prstGeom prst="line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Straight Connector 19">
              <a:extLst>
                <a:ext uri="{FF2B5EF4-FFF2-40B4-BE49-F238E27FC236}">
                  <a16:creationId xmlns:a16="http://schemas.microsoft.com/office/drawing/2014/main" id="{F137881A-243B-2B77-9DCE-8FB513327B58}"/>
                </a:ext>
              </a:extLst>
            </xdr:cNvPr>
            <xdr:cNvCxnSpPr/>
          </xdr:nvCxnSpPr>
          <xdr:spPr>
            <a:xfrm>
              <a:off x="4055341" y="808182"/>
              <a:ext cx="2886" cy="106795"/>
            </a:xfrm>
            <a:prstGeom prst="line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9A97-329C-46D4-916E-1F88E36A1CAD}">
  <dimension ref="B4:I13"/>
  <sheetViews>
    <sheetView tabSelected="1" topLeftCell="A3" zoomScaleNormal="100" workbookViewId="0">
      <selection activeCell="M18" sqref="M18"/>
    </sheetView>
  </sheetViews>
  <sheetFormatPr defaultRowHeight="14.5" x14ac:dyDescent="0.35"/>
  <cols>
    <col min="3" max="3" width="15.36328125" customWidth="1"/>
    <col min="8" max="8" width="18.81640625" bestFit="1" customWidth="1"/>
  </cols>
  <sheetData>
    <row r="4" spans="2:9" x14ac:dyDescent="0.35">
      <c r="B4" s="11" t="s">
        <v>0</v>
      </c>
      <c r="C4" s="12"/>
      <c r="D4" s="13"/>
      <c r="G4" s="11" t="s">
        <v>15</v>
      </c>
      <c r="H4" s="12"/>
      <c r="I4" s="13"/>
    </row>
    <row r="5" spans="2:9" x14ac:dyDescent="0.35">
      <c r="B5" s="3" t="s">
        <v>13</v>
      </c>
      <c r="C5" s="3" t="s">
        <v>1</v>
      </c>
      <c r="D5" s="3" t="s">
        <v>11</v>
      </c>
      <c r="G5" s="3" t="s">
        <v>13</v>
      </c>
      <c r="H5" s="3" t="s">
        <v>2</v>
      </c>
      <c r="I5" s="3" t="s">
        <v>11</v>
      </c>
    </row>
    <row r="6" spans="2:9" x14ac:dyDescent="0.35">
      <c r="B6" s="1" t="s">
        <v>14</v>
      </c>
      <c r="C6" s="1" t="s">
        <v>2</v>
      </c>
      <c r="D6" s="1" t="s">
        <v>11</v>
      </c>
      <c r="G6" s="1"/>
      <c r="H6" s="1" t="s">
        <v>16</v>
      </c>
      <c r="I6" s="1" t="s">
        <v>11</v>
      </c>
    </row>
    <row r="7" spans="2:9" x14ac:dyDescent="0.35">
      <c r="B7" s="4"/>
      <c r="C7" s="4" t="s">
        <v>3</v>
      </c>
      <c r="D7" s="4" t="s">
        <v>10</v>
      </c>
      <c r="G7" s="4"/>
      <c r="H7" s="4" t="s">
        <v>17</v>
      </c>
      <c r="I7" s="4" t="s">
        <v>10</v>
      </c>
    </row>
    <row r="8" spans="2:9" x14ac:dyDescent="0.35">
      <c r="B8" s="1"/>
      <c r="C8" s="1" t="s">
        <v>4</v>
      </c>
      <c r="D8" s="1" t="s">
        <v>12</v>
      </c>
      <c r="G8" s="1"/>
      <c r="H8" s="1" t="s">
        <v>18</v>
      </c>
      <c r="I8" s="1" t="s">
        <v>10</v>
      </c>
    </row>
    <row r="9" spans="2:9" x14ac:dyDescent="0.35">
      <c r="B9" s="4"/>
      <c r="C9" s="4" t="s">
        <v>5</v>
      </c>
      <c r="D9" s="4" t="s">
        <v>10</v>
      </c>
      <c r="G9" s="4"/>
      <c r="H9" s="4" t="s">
        <v>19</v>
      </c>
      <c r="I9" s="4" t="s">
        <v>12</v>
      </c>
    </row>
    <row r="10" spans="2:9" x14ac:dyDescent="0.35">
      <c r="B10" s="1"/>
      <c r="C10" s="1" t="s">
        <v>6</v>
      </c>
      <c r="D10" s="1" t="s">
        <v>10</v>
      </c>
      <c r="G10" s="2"/>
      <c r="H10" s="2" t="s">
        <v>20</v>
      </c>
      <c r="I10" s="2" t="s">
        <v>12</v>
      </c>
    </row>
    <row r="11" spans="2:9" x14ac:dyDescent="0.35">
      <c r="B11" s="4"/>
      <c r="C11" s="4" t="s">
        <v>7</v>
      </c>
      <c r="D11" s="4" t="s">
        <v>10</v>
      </c>
    </row>
    <row r="12" spans="2:9" x14ac:dyDescent="0.35">
      <c r="B12" s="1"/>
      <c r="C12" s="1" t="s">
        <v>8</v>
      </c>
      <c r="D12" s="1"/>
    </row>
    <row r="13" spans="2:9" x14ac:dyDescent="0.35">
      <c r="B13" s="5"/>
      <c r="C13" s="5" t="s">
        <v>9</v>
      </c>
      <c r="D13" s="5"/>
    </row>
  </sheetData>
  <mergeCells count="2">
    <mergeCell ref="B4:D4"/>
    <mergeCell ref="G4:I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7703-6D2A-49D4-86C7-70061AC16ED5}">
  <dimension ref="A1:H30"/>
  <sheetViews>
    <sheetView workbookViewId="0">
      <selection activeCell="A23" sqref="A23"/>
    </sheetView>
  </sheetViews>
  <sheetFormatPr defaultRowHeight="14.5" x14ac:dyDescent="0.35"/>
  <cols>
    <col min="1" max="1" width="12.54296875" customWidth="1"/>
    <col min="2" max="3" width="13.81640625" bestFit="1" customWidth="1"/>
  </cols>
  <sheetData>
    <row r="1" spans="1:8" x14ac:dyDescent="0.35">
      <c r="A1" t="s">
        <v>32</v>
      </c>
    </row>
    <row r="2" spans="1:8" x14ac:dyDescent="0.35">
      <c r="B2" t="s">
        <v>31</v>
      </c>
      <c r="C2" t="s">
        <v>30</v>
      </c>
      <c r="D2" t="s">
        <v>22</v>
      </c>
      <c r="F2" t="s">
        <v>31</v>
      </c>
      <c r="G2" t="s">
        <v>30</v>
      </c>
      <c r="H2" t="s">
        <v>22</v>
      </c>
    </row>
    <row r="3" spans="1:8" x14ac:dyDescent="0.35">
      <c r="A3" t="s">
        <v>29</v>
      </c>
      <c r="B3" s="9">
        <v>1092456</v>
      </c>
      <c r="C3" s="9">
        <v>1478601</v>
      </c>
      <c r="D3">
        <v>99</v>
      </c>
      <c r="F3" s="6">
        <f>B3/$B$8</f>
        <v>0.70447217593619582</v>
      </c>
      <c r="G3" s="6">
        <f>C3/$C$8</f>
        <v>0.71711789223935984</v>
      </c>
      <c r="H3" s="6">
        <f>D3/$D$8</f>
        <v>0.22048997772828507</v>
      </c>
    </row>
    <row r="4" spans="1:8" x14ac:dyDescent="0.35">
      <c r="A4" t="s">
        <v>28</v>
      </c>
      <c r="B4" s="9">
        <v>294441</v>
      </c>
      <c r="C4" s="9">
        <v>384242</v>
      </c>
      <c r="D4">
        <v>88</v>
      </c>
      <c r="F4" s="6">
        <f>B4/$B$8</f>
        <v>0.18987079750107044</v>
      </c>
      <c r="G4" s="6">
        <f>C4/$C$8</f>
        <v>0.18635643635425386</v>
      </c>
      <c r="H4" s="6">
        <f>D4/$D$8</f>
        <v>0.19599109131403117</v>
      </c>
    </row>
    <row r="5" spans="1:8" x14ac:dyDescent="0.35">
      <c r="A5" t="s">
        <v>27</v>
      </c>
      <c r="B5" s="9">
        <v>129053</v>
      </c>
      <c r="C5" s="9">
        <v>160718</v>
      </c>
      <c r="D5">
        <v>105</v>
      </c>
      <c r="F5" s="6">
        <f>B5/$B$8</f>
        <v>8.3220054373900523E-2</v>
      </c>
      <c r="G5" s="6">
        <f>C5/$C$8</f>
        <v>7.7947839481324194E-2</v>
      </c>
      <c r="H5" s="6">
        <f>D5/$D$8</f>
        <v>0.23385300668151449</v>
      </c>
    </row>
    <row r="6" spans="1:8" x14ac:dyDescent="0.35">
      <c r="A6" t="s">
        <v>26</v>
      </c>
      <c r="B6" s="9">
        <v>23412</v>
      </c>
      <c r="C6" s="9">
        <v>25490</v>
      </c>
      <c r="D6">
        <v>76</v>
      </c>
      <c r="F6" s="6">
        <f>B6/$B$8</f>
        <v>1.5097269439701201E-2</v>
      </c>
      <c r="G6" s="6">
        <f>C6/$C$8</f>
        <v>1.2362588063433802E-2</v>
      </c>
      <c r="H6" s="6">
        <f>D6/$D$8</f>
        <v>0.16926503340757237</v>
      </c>
    </row>
    <row r="7" spans="1:8" x14ac:dyDescent="0.35">
      <c r="A7" t="s">
        <v>25</v>
      </c>
      <c r="B7" s="9">
        <v>11382</v>
      </c>
      <c r="C7" s="9">
        <v>12815</v>
      </c>
      <c r="D7">
        <v>81</v>
      </c>
      <c r="F7" s="6">
        <f>B7/$B$8</f>
        <v>7.3397027491320299E-3</v>
      </c>
      <c r="G7" s="6">
        <f>C7/$C$8</f>
        <v>6.2152438616282536E-3</v>
      </c>
      <c r="H7" s="6">
        <f>D7/$D$8</f>
        <v>0.18040089086859687</v>
      </c>
    </row>
    <row r="8" spans="1:8" ht="15" thickBot="1" x14ac:dyDescent="0.4">
      <c r="B8" s="8">
        <f>SUM(B3:B7)</f>
        <v>1550744</v>
      </c>
      <c r="C8" s="8">
        <f>SUM(C3:C7)</f>
        <v>2061866</v>
      </c>
      <c r="D8" s="7">
        <f>SUM(D3:D7)</f>
        <v>449</v>
      </c>
    </row>
    <row r="9" spans="1:8" ht="15" thickTop="1" x14ac:dyDescent="0.35"/>
    <row r="12" spans="1:8" x14ac:dyDescent="0.35">
      <c r="A12" s="14" t="s">
        <v>24</v>
      </c>
      <c r="B12" t="s">
        <v>23</v>
      </c>
      <c r="C12" t="s">
        <v>31</v>
      </c>
      <c r="D12" t="s">
        <v>22</v>
      </c>
    </row>
    <row r="13" spans="1:8" x14ac:dyDescent="0.35">
      <c r="B13">
        <v>67890</v>
      </c>
      <c r="C13" s="9">
        <v>242735</v>
      </c>
      <c r="D13">
        <v>25</v>
      </c>
      <c r="F13" t="s">
        <v>44</v>
      </c>
    </row>
    <row r="14" spans="1:8" x14ac:dyDescent="0.35">
      <c r="B14">
        <v>23456</v>
      </c>
      <c r="C14" s="9">
        <v>203791</v>
      </c>
      <c r="D14">
        <v>29</v>
      </c>
      <c r="F14" s="6">
        <f>D18/$D$8</f>
        <v>0.26503340757238308</v>
      </c>
      <c r="G14" t="s">
        <v>43</v>
      </c>
    </row>
    <row r="15" spans="1:8" x14ac:dyDescent="0.35">
      <c r="B15">
        <v>123</v>
      </c>
      <c r="C15" s="9">
        <v>122010</v>
      </c>
      <c r="D15">
        <v>12</v>
      </c>
      <c r="F15" s="6">
        <f>C18/$B$8</f>
        <v>0.47791447202117177</v>
      </c>
      <c r="G15" t="s">
        <v>45</v>
      </c>
    </row>
    <row r="16" spans="1:8" x14ac:dyDescent="0.35">
      <c r="B16">
        <v>12345</v>
      </c>
      <c r="C16" s="9">
        <v>115237</v>
      </c>
      <c r="D16">
        <v>47</v>
      </c>
    </row>
    <row r="17" spans="1:7" x14ac:dyDescent="0.35">
      <c r="B17">
        <v>99223</v>
      </c>
      <c r="C17" s="9">
        <v>57350</v>
      </c>
      <c r="D17">
        <v>6</v>
      </c>
    </row>
    <row r="18" spans="1:7" ht="15" thickBot="1" x14ac:dyDescent="0.4">
      <c r="B18" t="s">
        <v>38</v>
      </c>
      <c r="C18" s="8">
        <f>SUM(C13:C17)</f>
        <v>741123</v>
      </c>
      <c r="D18" s="7">
        <f>SUM(D13:D17)</f>
        <v>119</v>
      </c>
    </row>
    <row r="19" spans="1:7" ht="15" thickTop="1" x14ac:dyDescent="0.35"/>
    <row r="23" spans="1:7" x14ac:dyDescent="0.35">
      <c r="A23" s="14" t="s">
        <v>46</v>
      </c>
      <c r="B23" t="s">
        <v>23</v>
      </c>
      <c r="C23" t="s">
        <v>31</v>
      </c>
      <c r="D23" t="s">
        <v>22</v>
      </c>
    </row>
    <row r="24" spans="1:7" x14ac:dyDescent="0.35">
      <c r="B24" t="s">
        <v>51</v>
      </c>
      <c r="C24" s="9">
        <v>259566</v>
      </c>
      <c r="D24">
        <v>34</v>
      </c>
      <c r="F24" t="s">
        <v>44</v>
      </c>
    </row>
    <row r="25" spans="1:7" x14ac:dyDescent="0.35">
      <c r="B25" t="s">
        <v>47</v>
      </c>
      <c r="C25" s="9">
        <v>152147</v>
      </c>
      <c r="D25">
        <v>42</v>
      </c>
      <c r="F25" s="6">
        <f>D29/$D$8</f>
        <v>0.27616926503340755</v>
      </c>
      <c r="G25" t="s">
        <v>43</v>
      </c>
    </row>
    <row r="26" spans="1:7" x14ac:dyDescent="0.35">
      <c r="B26" t="s">
        <v>48</v>
      </c>
      <c r="C26" s="9">
        <v>140990</v>
      </c>
      <c r="D26">
        <v>17</v>
      </c>
      <c r="F26" s="6">
        <f>C29/$B$8</f>
        <v>0.46482075700437986</v>
      </c>
      <c r="G26" t="s">
        <v>45</v>
      </c>
    </row>
    <row r="27" spans="1:7" x14ac:dyDescent="0.35">
      <c r="B27" t="s">
        <v>49</v>
      </c>
      <c r="C27" s="9">
        <v>105210</v>
      </c>
      <c r="D27">
        <v>13</v>
      </c>
    </row>
    <row r="28" spans="1:7" x14ac:dyDescent="0.35">
      <c r="B28" t="s">
        <v>50</v>
      </c>
      <c r="C28" s="9">
        <v>62905</v>
      </c>
      <c r="D28">
        <v>18</v>
      </c>
    </row>
    <row r="29" spans="1:7" ht="15" thickBot="1" x14ac:dyDescent="0.4">
      <c r="B29" t="s">
        <v>38</v>
      </c>
      <c r="C29" s="8">
        <f>SUM(C24:C28)</f>
        <v>720818</v>
      </c>
      <c r="D29" s="7">
        <f>SUM(D24:D28)</f>
        <v>124</v>
      </c>
    </row>
    <row r="30" spans="1:7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1E97-400B-481E-B1F7-C68E862A8106}">
  <dimension ref="A2:J28"/>
  <sheetViews>
    <sheetView workbookViewId="0">
      <selection activeCell="I18" sqref="I18"/>
    </sheetView>
  </sheetViews>
  <sheetFormatPr defaultRowHeight="14.5" x14ac:dyDescent="0.35"/>
  <cols>
    <col min="1" max="1" width="13" bestFit="1" customWidth="1"/>
    <col min="2" max="2" width="9.26953125" bestFit="1" customWidth="1"/>
    <col min="3" max="3" width="15.7265625" style="9" bestFit="1" customWidth="1"/>
    <col min="5" max="5" width="12.1796875" bestFit="1" customWidth="1"/>
    <col min="9" max="9" width="11.1796875" bestFit="1" customWidth="1"/>
  </cols>
  <sheetData>
    <row r="2" spans="1:10" x14ac:dyDescent="0.35">
      <c r="A2" t="s">
        <v>42</v>
      </c>
      <c r="B2" t="s">
        <v>36</v>
      </c>
      <c r="C2" s="9" t="s">
        <v>35</v>
      </c>
      <c r="D2" t="s">
        <v>34</v>
      </c>
      <c r="E2" t="s">
        <v>33</v>
      </c>
    </row>
    <row r="3" spans="1:10" x14ac:dyDescent="0.35">
      <c r="B3">
        <v>8</v>
      </c>
      <c r="C3" s="9">
        <v>4609.3599999999997</v>
      </c>
      <c r="D3">
        <v>5</v>
      </c>
      <c r="E3">
        <v>23046.799999999999</v>
      </c>
    </row>
    <row r="4" spans="1:10" x14ac:dyDescent="0.35">
      <c r="B4">
        <v>36</v>
      </c>
      <c r="C4" s="9">
        <v>5106.1499999999996</v>
      </c>
      <c r="D4">
        <v>5</v>
      </c>
      <c r="E4">
        <v>25530.75</v>
      </c>
      <c r="I4" t="s">
        <v>41</v>
      </c>
      <c r="J4" t="s">
        <v>40</v>
      </c>
    </row>
    <row r="5" spans="1:10" x14ac:dyDescent="0.35">
      <c r="B5">
        <v>1</v>
      </c>
      <c r="C5" s="9">
        <v>7530</v>
      </c>
      <c r="D5">
        <v>4</v>
      </c>
      <c r="E5">
        <v>30120</v>
      </c>
      <c r="H5" t="s">
        <v>29</v>
      </c>
      <c r="I5" s="9">
        <v>1092456</v>
      </c>
      <c r="J5">
        <v>99</v>
      </c>
    </row>
    <row r="6" spans="1:10" x14ac:dyDescent="0.35">
      <c r="B6">
        <v>71</v>
      </c>
      <c r="C6" s="9">
        <v>6046</v>
      </c>
      <c r="D6">
        <v>5</v>
      </c>
      <c r="E6">
        <v>30230</v>
      </c>
      <c r="H6" t="s">
        <v>28</v>
      </c>
      <c r="I6" s="9">
        <v>294441</v>
      </c>
      <c r="J6">
        <v>88</v>
      </c>
    </row>
    <row r="7" spans="1:10" x14ac:dyDescent="0.35">
      <c r="B7">
        <v>20</v>
      </c>
      <c r="C7" s="9">
        <v>3796.875</v>
      </c>
      <c r="D7">
        <v>8</v>
      </c>
      <c r="E7">
        <v>30375</v>
      </c>
      <c r="H7" t="s">
        <v>27</v>
      </c>
      <c r="I7" s="9">
        <v>129053</v>
      </c>
      <c r="J7">
        <v>105</v>
      </c>
    </row>
    <row r="8" spans="1:10" x14ac:dyDescent="0.35">
      <c r="B8">
        <v>28</v>
      </c>
      <c r="C8" s="9">
        <v>6112</v>
      </c>
      <c r="D8">
        <v>5</v>
      </c>
      <c r="E8">
        <v>30560</v>
      </c>
      <c r="H8" t="s">
        <v>26</v>
      </c>
      <c r="I8" s="9">
        <v>23412</v>
      </c>
      <c r="J8">
        <v>76</v>
      </c>
    </row>
    <row r="9" spans="1:10" x14ac:dyDescent="0.35">
      <c r="B9">
        <v>82</v>
      </c>
      <c r="C9" s="9">
        <v>7672.5</v>
      </c>
      <c r="D9">
        <v>4</v>
      </c>
      <c r="E9">
        <v>30690</v>
      </c>
      <c r="H9" t="s">
        <v>39</v>
      </c>
      <c r="I9" s="9">
        <v>11382</v>
      </c>
      <c r="J9">
        <v>81</v>
      </c>
    </row>
    <row r="10" spans="1:10" x14ac:dyDescent="0.35">
      <c r="B10">
        <v>58</v>
      </c>
      <c r="C10" s="9">
        <v>8980</v>
      </c>
      <c r="D10">
        <v>4</v>
      </c>
      <c r="E10">
        <v>35920</v>
      </c>
      <c r="H10" t="s">
        <v>21</v>
      </c>
      <c r="I10" s="10">
        <f>SUM(I5:I9)</f>
        <v>1550744</v>
      </c>
      <c r="J10">
        <f>SUM(J5:J9)</f>
        <v>449</v>
      </c>
    </row>
    <row r="11" spans="1:10" x14ac:dyDescent="0.35">
      <c r="B11">
        <v>32</v>
      </c>
      <c r="C11" s="9">
        <v>8016</v>
      </c>
      <c r="D11">
        <v>5</v>
      </c>
      <c r="E11">
        <v>40080</v>
      </c>
    </row>
    <row r="12" spans="1:10" x14ac:dyDescent="0.35">
      <c r="B12">
        <v>6</v>
      </c>
      <c r="C12" s="9">
        <v>10825</v>
      </c>
      <c r="D12">
        <v>4</v>
      </c>
      <c r="E12">
        <v>43300</v>
      </c>
    </row>
    <row r="13" spans="1:10" ht="15" thickBot="1" x14ac:dyDescent="0.4">
      <c r="B13" s="7" t="s">
        <v>38</v>
      </c>
      <c r="C13" s="8">
        <f>E13/D13</f>
        <v>6527.6030612244895</v>
      </c>
      <c r="D13" s="7">
        <f>SUM(D3:D12)</f>
        <v>49</v>
      </c>
      <c r="E13" s="8">
        <f>SUM(E3:E12)</f>
        <v>319852.55</v>
      </c>
    </row>
    <row r="14" spans="1:10" ht="15" thickTop="1" x14ac:dyDescent="0.35">
      <c r="D14" s="6">
        <f>D13/J10</f>
        <v>0.10913140311804009</v>
      </c>
      <c r="E14">
        <f>E13/I10</f>
        <v>0.20625748028043311</v>
      </c>
    </row>
    <row r="16" spans="1:10" x14ac:dyDescent="0.35">
      <c r="A16" t="s">
        <v>37</v>
      </c>
      <c r="B16" t="s">
        <v>36</v>
      </c>
      <c r="C16" t="s">
        <v>35</v>
      </c>
      <c r="D16" t="s">
        <v>34</v>
      </c>
      <c r="E16" t="s">
        <v>33</v>
      </c>
    </row>
    <row r="17" spans="2:9" x14ac:dyDescent="0.35">
      <c r="B17">
        <v>36</v>
      </c>
      <c r="C17" s="9">
        <v>15000</v>
      </c>
      <c r="D17">
        <v>1</v>
      </c>
      <c r="E17" s="9">
        <v>15000</v>
      </c>
      <c r="I17">
        <f>7/9</f>
        <v>0.77777777777777779</v>
      </c>
    </row>
    <row r="18" spans="2:9" x14ac:dyDescent="0.35">
      <c r="B18">
        <v>8</v>
      </c>
      <c r="C18" s="9">
        <v>17250.599999999999</v>
      </c>
      <c r="D18">
        <v>1</v>
      </c>
      <c r="E18" s="9">
        <v>17250.599999999999</v>
      </c>
    </row>
    <row r="19" spans="2:9" x14ac:dyDescent="0.35">
      <c r="B19">
        <v>71</v>
      </c>
      <c r="C19" s="9">
        <v>25000</v>
      </c>
      <c r="D19">
        <v>1</v>
      </c>
      <c r="E19" s="9">
        <v>25000</v>
      </c>
    </row>
    <row r="20" spans="2:9" x14ac:dyDescent="0.35">
      <c r="B20">
        <v>58</v>
      </c>
      <c r="C20" s="9">
        <v>25000</v>
      </c>
      <c r="D20">
        <v>1</v>
      </c>
      <c r="E20" s="9">
        <v>25000</v>
      </c>
    </row>
    <row r="21" spans="2:9" x14ac:dyDescent="0.35">
      <c r="B21">
        <v>20</v>
      </c>
      <c r="C21" s="9">
        <v>12525</v>
      </c>
      <c r="D21">
        <v>2</v>
      </c>
      <c r="E21" s="9">
        <v>25050</v>
      </c>
    </row>
    <row r="22" spans="2:9" x14ac:dyDescent="0.35">
      <c r="B22">
        <v>82</v>
      </c>
      <c r="C22" s="9">
        <v>25600</v>
      </c>
      <c r="D22">
        <v>1</v>
      </c>
      <c r="E22" s="9">
        <v>25600</v>
      </c>
    </row>
    <row r="23" spans="2:9" x14ac:dyDescent="0.35">
      <c r="B23">
        <v>28</v>
      </c>
      <c r="C23" s="9">
        <v>25600</v>
      </c>
      <c r="D23">
        <v>1</v>
      </c>
      <c r="E23" s="9">
        <v>25600</v>
      </c>
    </row>
    <row r="24" spans="2:9" x14ac:dyDescent="0.35">
      <c r="B24">
        <v>1</v>
      </c>
      <c r="C24" s="9">
        <v>28000</v>
      </c>
      <c r="D24">
        <v>1</v>
      </c>
      <c r="E24" s="9">
        <v>28000</v>
      </c>
    </row>
    <row r="25" spans="2:9" x14ac:dyDescent="0.35">
      <c r="B25">
        <v>6</v>
      </c>
      <c r="C25" s="9">
        <v>31500</v>
      </c>
      <c r="D25">
        <v>1</v>
      </c>
      <c r="E25" s="9">
        <v>31500</v>
      </c>
    </row>
    <row r="26" spans="2:9" x14ac:dyDescent="0.35">
      <c r="B26">
        <v>32</v>
      </c>
      <c r="C26" s="9">
        <v>35000</v>
      </c>
      <c r="D26">
        <v>1</v>
      </c>
      <c r="E26" s="9">
        <v>35000</v>
      </c>
    </row>
    <row r="27" spans="2:9" ht="15" thickBot="1" x14ac:dyDescent="0.4">
      <c r="B27" s="7"/>
      <c r="C27" s="8">
        <f>E27/D27</f>
        <v>23000.054545454546</v>
      </c>
      <c r="D27" s="7">
        <f>SUM(D17:D26)</f>
        <v>11</v>
      </c>
      <c r="E27" s="8">
        <f>SUM(E17:E26)</f>
        <v>253000.6</v>
      </c>
    </row>
    <row r="28" spans="2:9" ht="15" thickTop="1" x14ac:dyDescent="0.35">
      <c r="D28" s="6">
        <f>D27/J10</f>
        <v>2.4498886414253896E-2</v>
      </c>
      <c r="E28">
        <f>E27/I10</f>
        <v>0.16314788256475601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ERD</vt:lpstr>
      <vt:lpstr>Sheet1</vt:lpstr>
      <vt:lpstr>member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 Mezydlo</dc:creator>
  <cp:lastModifiedBy>Cara Mezydlo</cp:lastModifiedBy>
  <dcterms:created xsi:type="dcterms:W3CDTF">2026-08-11T21:05:53Z</dcterms:created>
  <dcterms:modified xsi:type="dcterms:W3CDTF">2026-08-18T20:37:01Z</dcterms:modified>
</cp:coreProperties>
</file>